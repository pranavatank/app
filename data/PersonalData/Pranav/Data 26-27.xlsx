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13_ncr:1_{9AD6230B-3DFA-474A-B530-39DCD7340F18}" xr6:coauthVersionLast="47" xr6:coauthVersionMax="47" xr10:uidLastSave="{00000000-0000-0000-0000-000000000000}"/>
  <bookViews>
    <workbookView xWindow="-120" yWindow="-120" windowWidth="20730" windowHeight="11040" xr2:uid="{658760FA-610D-46D6-AF84-44D2FE353B51}"/>
  </bookViews>
  <sheets>
    <sheet name="Bank" sheetId="1" r:id="rId1"/>
    <sheet name="Salary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3" i="1" l="1"/>
  <c r="P73" i="1" s="1"/>
  <c r="E73" i="1"/>
  <c r="W73" i="1" s="1"/>
  <c r="M72" i="1"/>
  <c r="P72" i="1" s="1"/>
  <c r="E72" i="1"/>
  <c r="W72" i="1" s="1"/>
  <c r="M71" i="1"/>
  <c r="P71" i="1" s="1"/>
  <c r="M70" i="1"/>
  <c r="P70" i="1" s="1"/>
  <c r="E71" i="1"/>
  <c r="N71" i="1" s="1"/>
  <c r="B71" i="1"/>
  <c r="B72" i="1" s="1"/>
  <c r="B73" i="1" s="1"/>
  <c r="E70" i="1"/>
  <c r="W70" i="1" s="1"/>
  <c r="W71" i="1" l="1"/>
  <c r="N70" i="1"/>
  <c r="Q70" i="1" s="1"/>
  <c r="R70" i="1"/>
  <c r="U70" i="1"/>
  <c r="V70" i="1" s="1"/>
  <c r="N73" i="1"/>
  <c r="Q73" i="1" s="1"/>
  <c r="U73" i="1"/>
  <c r="V73" i="1" s="1"/>
  <c r="X73" i="1"/>
  <c r="Y73" i="1" s="1"/>
  <c r="Z73" i="1" s="1"/>
  <c r="H73" i="1"/>
  <c r="I73" i="1" s="1"/>
  <c r="X72" i="1"/>
  <c r="Y72" i="1" s="1"/>
  <c r="Z72" i="1" s="1"/>
  <c r="N72" i="1"/>
  <c r="Q72" i="1" s="1"/>
  <c r="U72" i="1"/>
  <c r="V72" i="1" s="1"/>
  <c r="H72" i="1"/>
  <c r="I72" i="1" s="1"/>
  <c r="X71" i="1"/>
  <c r="Y71" i="1" s="1"/>
  <c r="Z71" i="1" s="1"/>
  <c r="Q71" i="1"/>
  <c r="U71" i="1"/>
  <c r="V71" i="1" s="1"/>
  <c r="H71" i="1"/>
  <c r="I71" i="1" s="1"/>
  <c r="X70" i="1"/>
  <c r="Y70" i="1" s="1"/>
  <c r="Z70" i="1" s="1"/>
  <c r="H70" i="1"/>
  <c r="I70" i="1" s="1"/>
  <c r="E10" i="2"/>
  <c r="D10" i="2"/>
  <c r="E8" i="2"/>
  <c r="D8" i="2"/>
  <c r="G48" i="2"/>
  <c r="F48" i="2"/>
  <c r="G33" i="2"/>
  <c r="F33" i="2"/>
  <c r="E6" i="2"/>
  <c r="D6" i="2"/>
  <c r="G18" i="2"/>
  <c r="F18" i="2"/>
  <c r="B18" i="1"/>
  <c r="B19" i="1" s="1"/>
  <c r="B20" i="1" s="1"/>
  <c r="B22" i="1" s="1"/>
  <c r="B23" i="1" s="1"/>
  <c r="B24" i="1" s="1"/>
  <c r="B25" i="1" s="1"/>
  <c r="B27" i="1" s="1"/>
  <c r="Q69" i="1" l="1"/>
  <c r="R71" i="1"/>
  <c r="R73" i="1"/>
  <c r="R72" i="1"/>
  <c r="B28" i="1"/>
  <c r="B29" i="1" s="1"/>
  <c r="I69" i="1" l="1"/>
  <c r="B31" i="1"/>
  <c r="B32" i="1" s="1"/>
  <c r="B34" i="1" l="1"/>
  <c r="B36" i="1" s="1"/>
  <c r="B38" i="1" s="1"/>
  <c r="B39" i="1" s="1"/>
  <c r="B41" i="1" l="1"/>
  <c r="B42" i="1" s="1"/>
  <c r="B43" i="1" s="1"/>
  <c r="B45" i="1" l="1"/>
  <c r="B46" i="1" s="1"/>
  <c r="B47" i="1" s="1"/>
  <c r="B48" i="1" s="1"/>
  <c r="B50" i="1" l="1"/>
  <c r="B52" i="1" s="1"/>
  <c r="B53" i="1" s="1"/>
  <c r="B54" i="1" s="1"/>
  <c r="B55" i="1" s="1"/>
</calcChain>
</file>

<file path=xl/sharedStrings.xml><?xml version="1.0" encoding="utf-8"?>
<sst xmlns="http://schemas.openxmlformats.org/spreadsheetml/2006/main" count="119" uniqueCount="56">
  <si>
    <t>Jay Swaminarayan</t>
  </si>
  <si>
    <t>Om Shree Ganeshay Namh</t>
  </si>
  <si>
    <t>Unity</t>
  </si>
  <si>
    <t>BAT</t>
  </si>
  <si>
    <t>PAT</t>
  </si>
  <si>
    <t>Pranav</t>
  </si>
  <si>
    <t>Jana</t>
  </si>
  <si>
    <t>HUF</t>
  </si>
  <si>
    <t>Ujjivan</t>
  </si>
  <si>
    <t>Equitas</t>
  </si>
  <si>
    <t>IDFC</t>
  </si>
  <si>
    <t>HDFC</t>
  </si>
  <si>
    <t>SBI</t>
  </si>
  <si>
    <t>BOI</t>
  </si>
  <si>
    <t>AU</t>
  </si>
  <si>
    <t>YES</t>
  </si>
  <si>
    <t>RNSB</t>
  </si>
  <si>
    <t>A+B+P</t>
  </si>
  <si>
    <t>A+P+Pranav</t>
  </si>
  <si>
    <t>B+P+Pranav</t>
  </si>
  <si>
    <t>Pranav+B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</si>
  <si>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</si>
  <si>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</si>
  <si>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</si>
  <si>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</si>
  <si>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</si>
  <si>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</si>
  <si>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</si>
  <si>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</si>
  <si>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</si>
  <si>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</si>
  <si>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</si>
  <si>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</si>
  <si>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Salary</t>
  </si>
  <si>
    <t xml:space="preserve">Expected </t>
  </si>
  <si>
    <t>2024-25</t>
  </si>
  <si>
    <t>2025-26</t>
  </si>
  <si>
    <t>051643041015648</t>
  </si>
  <si>
    <t>2026-27</t>
  </si>
  <si>
    <t>2027-28</t>
  </si>
  <si>
    <t>JANA-BAT</t>
  </si>
  <si>
    <t>Days before 1/4/26</t>
  </si>
  <si>
    <t>Total Int</t>
  </si>
  <si>
    <t>Only 2026-27 Maturity Amount Total</t>
  </si>
  <si>
    <t>FD Maturity Amount</t>
  </si>
  <si>
    <t>Expected Interest</t>
  </si>
  <si>
    <t>Actual Interest</t>
  </si>
  <si>
    <t>Days in 2026-27</t>
  </si>
  <si>
    <t>Saving Balance</t>
  </si>
  <si>
    <t>Saving Int</t>
  </si>
  <si>
    <t>Expected Int</t>
  </si>
  <si>
    <t>Expected</t>
  </si>
  <si>
    <t>Actual Received</t>
  </si>
  <si>
    <t>Expected Salary</t>
  </si>
  <si>
    <t>Actual Salary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</si>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</sst>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14" fontId="0" fillId="0" borderId="0" xfId="0" applyNumberFormat="1"/>
    <xf numFmtId="0" fontId="0" fillId="2" borderId="0" xfId="0" applyFill="1" applyAlignment="1">
      <alignment horizontal="center"/>
    </xf>
    <xf numFmtId="1" fontId="5" fillId="3" borderId="0" xfId="0" quotePrefix="1" applyNumberFormat="1" applyFont="1" applyFill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0" fillId="0" borderId="0" xfId="0" applyAlignment="1">
      <alignment wrapText="1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1" fontId="5" fillId="0" borderId="0" xfId="0" quotePrefix="1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6" fillId="0" borderId="0" xfId="0" applyFont="1"/>
    <xf numFmtId="1" fontId="0" fillId="4" borderId="0" xfId="0" applyNumberForma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1" fontId="4" fillId="4" borderId="0" xfId="0" applyNumberFormat="1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5" fillId="4" borderId="0" xfId="0" applyFont="1" applyFill="1" applyAlignment="1">
      <alignment vertical="center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6585B-5E54-44AD-8121-EAE4EF270DBE}">
  <dimension ref="B2:Z73"/>
  <sheetViews>
    <sheetView tabSelected="1" topLeftCell="A4" zoomScale="110" zoomScaleNormal="110" workbookViewId="0">
      <selection activeCell="L8" sqref="L8"/>
    </sheetView>
  </sheetViews>
  <sheetFormatPr defaultRowHeight="15" x14ac:dyDescent="0.25"/>
  <cols>
    <col min="6" max="6" width="9.5703125" customWidth="1"/>
    <col min="7" max="7" width="11.140625" customWidth="1"/>
    <col min="8" max="8" width="12.28515625" customWidth="1"/>
    <col min="9" max="9" width="14.140625" customWidth="1"/>
    <col min="17" max="17" width="14.7109375" customWidth="1"/>
  </cols>
  <sheetData>
    <row r="2" spans="2:12" ht="18.75" x14ac:dyDescent="0.3">
      <c r="B2" s="2" t="s">
        <v>1</v>
      </c>
    </row>
    <row r="3" spans="2:12" ht="18.75" x14ac:dyDescent="0.3">
      <c r="B3" s="2" t="s">
        <v>0</v>
      </c>
    </row>
    <row r="5" spans="2:12" ht="23.25" x14ac:dyDescent="0.35">
      <c r="B5" s="17" t="s">
        <v>38</v>
      </c>
    </row>
    <row r="7" spans="2:12" ht="47.25" x14ac:dyDescent="0.25">
      <c r="C7" s="1"/>
      <c r="D7" s="1"/>
      <c r="E7" s="26" t="s">
        <v>48</v>
      </c>
      <c r="F7" s="26" t="s">
        <v>49</v>
      </c>
      <c r="G7" s="26" t="s">
        <v>44</v>
      </c>
      <c r="H7" s="26" t="s">
        <v>50</v>
      </c>
      <c r="I7" s="26" t="s">
        <v>46</v>
      </c>
      <c r="J7" s="26" t="s">
        <v>53</v>
      </c>
      <c r="K7" s="26" t="s">
        <v>54</v>
      </c>
      <c r="L7" s="26" t="s">
        <v>55</v>
      </c>
    </row>
    <row r="8" spans="2:12" ht="15.75" x14ac:dyDescent="0.25">
      <c r="C8" s="1" t="s">
        <v>3</v>
      </c>
      <c r="D8" s="1"/>
      <c r="E8" s="1"/>
      <c r="F8" s="1"/>
      <c r="G8" s="1"/>
      <c r="H8" s="1"/>
    </row>
    <row r="9" spans="2:12" ht="15.75" x14ac:dyDescent="0.25">
      <c r="C9" s="1" t="s">
        <v>4</v>
      </c>
      <c r="D9" s="1"/>
      <c r="E9" s="1"/>
      <c r="F9" s="1"/>
      <c r="G9" s="1"/>
      <c r="H9" s="1"/>
    </row>
    <row r="10" spans="2:12" ht="15.75" x14ac:dyDescent="0.25">
      <c r="C10" s="1" t="s">
        <v>5</v>
      </c>
      <c r="D10" s="1"/>
      <c r="E10" s="1"/>
      <c r="F10" s="1"/>
      <c r="G10" s="1"/>
      <c r="H10" s="1"/>
    </row>
    <row r="11" spans="2:12" ht="15.75" x14ac:dyDescent="0.25">
      <c r="C11" s="1" t="s">
        <v>7</v>
      </c>
      <c r="D11" s="1"/>
      <c r="E11" s="1"/>
      <c r="F11" s="1"/>
      <c r="G11" s="1"/>
      <c r="H11" s="1"/>
    </row>
    <row r="12" spans="2:12" ht="15.75" x14ac:dyDescent="0.25">
      <c r="C12" s="1"/>
      <c r="D12" s="1"/>
      <c r="E12" s="1"/>
      <c r="F12" s="1"/>
      <c r="G12" s="1"/>
      <c r="H12" s="1"/>
    </row>
    <row r="13" spans="2:12" ht="15.75" x14ac:dyDescent="0.25">
      <c r="C13" s="1"/>
      <c r="D13" s="1"/>
      <c r="E13" s="1"/>
      <c r="F13" s="1"/>
      <c r="G13" s="1"/>
      <c r="H13" s="1"/>
    </row>
    <row r="16" spans="2:12" ht="30" x14ac:dyDescent="0.25">
      <c r="F16" s="9" t="s">
        <v>48</v>
      </c>
      <c r="H16" s="9" t="s">
        <v>44</v>
      </c>
      <c r="I16" s="9" t="s">
        <v>45</v>
      </c>
      <c r="J16" s="9" t="s">
        <v>46</v>
      </c>
    </row>
    <row r="17" spans="2:4" x14ac:dyDescent="0.25">
      <c r="B17" s="6">
        <v>1</v>
      </c>
      <c r="C17" t="s">
        <v>2</v>
      </c>
      <c r="D17" t="s">
        <v>3</v>
      </c>
    </row>
    <row r="18" spans="2:4" x14ac:dyDescent="0.25">
      <c r="B18" s="6">
        <f>B17+1</f>
        <v>2</v>
      </c>
      <c r="D18" t="s">
        <v>4</v>
      </c>
    </row>
    <row r="19" spans="2:4" x14ac:dyDescent="0.25">
      <c r="B19" s="6">
        <f>B18+1</f>
        <v>3</v>
      </c>
      <c r="D19" t="s">
        <v>5</v>
      </c>
    </row>
    <row r="20" spans="2:4" x14ac:dyDescent="0.25">
      <c r="B20" s="6">
        <f t="shared" ref="B20:B55" si="0">B19+1</f>
        <v>4</v>
      </c>
      <c r="D20" t="s">
        <v>7</v>
      </c>
    </row>
    <row r="21" spans="2:4" x14ac:dyDescent="0.25">
      <c r="B21" s="6"/>
    </row>
    <row r="22" spans="2:4" x14ac:dyDescent="0.25">
      <c r="B22" s="6">
        <f>B20+1</f>
        <v>5</v>
      </c>
      <c r="C22" t="s">
        <v>6</v>
      </c>
      <c r="D22" t="s">
        <v>3</v>
      </c>
    </row>
    <row r="23" spans="2:4" x14ac:dyDescent="0.25">
      <c r="B23" s="6">
        <f t="shared" si="0"/>
        <v>6</v>
      </c>
      <c r="D23" t="s">
        <v>4</v>
      </c>
    </row>
    <row r="24" spans="2:4" x14ac:dyDescent="0.25">
      <c r="B24" s="6">
        <f t="shared" si="0"/>
        <v>7</v>
      </c>
      <c r="D24" t="s">
        <v>5</v>
      </c>
    </row>
    <row r="25" spans="2:4" x14ac:dyDescent="0.25">
      <c r="B25" s="6">
        <f t="shared" si="0"/>
        <v>8</v>
      </c>
      <c r="D25" t="s">
        <v>7</v>
      </c>
    </row>
    <row r="26" spans="2:4" x14ac:dyDescent="0.25">
      <c r="B26" s="6"/>
    </row>
    <row r="27" spans="2:4" x14ac:dyDescent="0.25">
      <c r="B27" s="6">
        <f>B25+1</f>
        <v>9</v>
      </c>
      <c r="C27" t="s">
        <v>8</v>
      </c>
      <c r="D27" t="s">
        <v>3</v>
      </c>
    </row>
    <row r="28" spans="2:4" x14ac:dyDescent="0.25">
      <c r="B28" s="6">
        <f t="shared" si="0"/>
        <v>10</v>
      </c>
      <c r="D28" t="s">
        <v>4</v>
      </c>
    </row>
    <row r="29" spans="2:4" x14ac:dyDescent="0.25">
      <c r="B29" s="6">
        <f t="shared" si="0"/>
        <v>11</v>
      </c>
      <c r="D29" t="s">
        <v>5</v>
      </c>
    </row>
    <row r="30" spans="2:4" x14ac:dyDescent="0.25">
      <c r="B30" s="6"/>
    </row>
    <row r="31" spans="2:4" x14ac:dyDescent="0.25">
      <c r="B31" s="6">
        <f>B29+1</f>
        <v>12</v>
      </c>
      <c r="C31" t="s">
        <v>9</v>
      </c>
      <c r="D31" t="s">
        <v>5</v>
      </c>
    </row>
    <row r="32" spans="2:4" x14ac:dyDescent="0.25">
      <c r="B32" s="6">
        <f t="shared" si="0"/>
        <v>13</v>
      </c>
      <c r="D32" t="s">
        <v>7</v>
      </c>
    </row>
    <row r="33" spans="2:4" x14ac:dyDescent="0.25">
      <c r="B33" s="6"/>
    </row>
    <row r="34" spans="2:4" x14ac:dyDescent="0.25">
      <c r="B34" s="6">
        <f>B32+1</f>
        <v>14</v>
      </c>
      <c r="C34" t="s">
        <v>10</v>
      </c>
      <c r="D34" t="s">
        <v>5</v>
      </c>
    </row>
    <row r="35" spans="2:4" x14ac:dyDescent="0.25">
      <c r="B35" s="6"/>
    </row>
    <row r="36" spans="2:4" x14ac:dyDescent="0.25">
      <c r="B36" s="6">
        <f>B34+1</f>
        <v>15</v>
      </c>
      <c r="C36" t="s">
        <v>11</v>
      </c>
      <c r="D36" t="s">
        <v>4</v>
      </c>
    </row>
    <row r="37" spans="2:4" x14ac:dyDescent="0.25">
      <c r="B37" s="6"/>
    </row>
    <row r="38" spans="2:4" x14ac:dyDescent="0.25">
      <c r="B38" s="6">
        <f>B36+1</f>
        <v>16</v>
      </c>
      <c r="C38" t="s">
        <v>12</v>
      </c>
      <c r="D38" t="s">
        <v>3</v>
      </c>
    </row>
    <row r="39" spans="2:4" x14ac:dyDescent="0.25">
      <c r="B39" s="6">
        <f t="shared" si="0"/>
        <v>17</v>
      </c>
      <c r="D39" t="s">
        <v>4</v>
      </c>
    </row>
    <row r="40" spans="2:4" x14ac:dyDescent="0.25">
      <c r="B40" s="6"/>
    </row>
    <row r="41" spans="2:4" x14ac:dyDescent="0.25">
      <c r="B41" s="6">
        <f>B39+1</f>
        <v>18</v>
      </c>
      <c r="C41" t="s">
        <v>15</v>
      </c>
      <c r="D41" t="s">
        <v>3</v>
      </c>
    </row>
    <row r="42" spans="2:4" x14ac:dyDescent="0.25">
      <c r="B42" s="6">
        <f t="shared" si="0"/>
        <v>19</v>
      </c>
      <c r="D42" t="s">
        <v>4</v>
      </c>
    </row>
    <row r="43" spans="2:4" x14ac:dyDescent="0.25">
      <c r="B43" s="6">
        <f t="shared" si="0"/>
        <v>20</v>
      </c>
      <c r="D43" t="s">
        <v>7</v>
      </c>
    </row>
    <row r="44" spans="2:4" x14ac:dyDescent="0.25">
      <c r="B44" s="6"/>
    </row>
    <row r="45" spans="2:4" x14ac:dyDescent="0.25">
      <c r="B45" s="6">
        <f>B43+1</f>
        <v>21</v>
      </c>
      <c r="C45" t="s">
        <v>14</v>
      </c>
      <c r="D45" t="s">
        <v>3</v>
      </c>
    </row>
    <row r="46" spans="2:4" x14ac:dyDescent="0.25">
      <c r="B46" s="6">
        <f t="shared" si="0"/>
        <v>22</v>
      </c>
      <c r="D46" t="s">
        <v>4</v>
      </c>
    </row>
    <row r="47" spans="2:4" x14ac:dyDescent="0.25">
      <c r="B47" s="6">
        <f t="shared" si="0"/>
        <v>23</v>
      </c>
      <c r="D47" t="s">
        <v>5</v>
      </c>
    </row>
    <row r="48" spans="2:4" x14ac:dyDescent="0.25">
      <c r="B48" s="6">
        <f t="shared" si="0"/>
        <v>24</v>
      </c>
      <c r="D48" t="s">
        <v>7</v>
      </c>
    </row>
    <row r="49" spans="2:4" x14ac:dyDescent="0.25">
      <c r="B49" s="6"/>
    </row>
    <row r="50" spans="2:4" x14ac:dyDescent="0.25">
      <c r="B50" s="6">
        <f>B48+1</f>
        <v>25</v>
      </c>
      <c r="C50" t="s">
        <v>13</v>
      </c>
      <c r="D50" t="s">
        <v>19</v>
      </c>
    </row>
    <row r="51" spans="2:4" x14ac:dyDescent="0.25">
      <c r="B51" s="6"/>
    </row>
    <row r="52" spans="2:4" x14ac:dyDescent="0.25">
      <c r="B52" s="6">
        <f>B50+1</f>
        <v>26</v>
      </c>
      <c r="C52" t="s">
        <v>16</v>
      </c>
      <c r="D52" t="s">
        <v>17</v>
      </c>
    </row>
    <row r="53" spans="2:4" x14ac:dyDescent="0.25">
      <c r="B53" s="6">
        <f t="shared" si="0"/>
        <v>27</v>
      </c>
      <c r="D53" t="s">
        <v>18</v>
      </c>
    </row>
    <row r="54" spans="2:4" x14ac:dyDescent="0.25">
      <c r="B54" s="6">
        <f t="shared" si="0"/>
        <v>28</v>
      </c>
      <c r="D54" t="s">
        <v>20</v>
      </c>
    </row>
    <row r="55" spans="2:4" x14ac:dyDescent="0.25">
      <c r="B55" s="6">
        <f t="shared" si="0"/>
        <v>29</v>
      </c>
      <c r="D55" t="s">
        <v>7</v>
      </c>
    </row>
    <row r="65" spans="2:26" x14ac:dyDescent="0.25">
      <c r="O65" s="7" t="s">
        <v>35</v>
      </c>
      <c r="P65" s="7" t="s">
        <v>36</v>
      </c>
      <c r="Q65" s="7" t="s">
        <v>38</v>
      </c>
      <c r="R65" s="7" t="s">
        <v>39</v>
      </c>
    </row>
    <row r="66" spans="2:26" x14ac:dyDescent="0.25">
      <c r="O66" s="8">
        <v>45383</v>
      </c>
      <c r="P66" s="8">
        <v>45748</v>
      </c>
      <c r="Q66" s="8">
        <v>46113</v>
      </c>
      <c r="R66" s="8">
        <v>46478</v>
      </c>
    </row>
    <row r="67" spans="2:26" ht="43.5" customHeight="1" x14ac:dyDescent="0.25">
      <c r="H67" t="s">
        <v>42</v>
      </c>
      <c r="I67" s="9" t="s">
        <v>43</v>
      </c>
      <c r="M67" s="9" t="s">
        <v>41</v>
      </c>
      <c r="N67" s="9" t="s">
        <v>47</v>
      </c>
      <c r="O67" s="8">
        <v>45747</v>
      </c>
      <c r="P67" s="8">
        <v>46112</v>
      </c>
      <c r="Q67" s="8">
        <v>46477</v>
      </c>
      <c r="R67" s="8">
        <v>46843</v>
      </c>
    </row>
    <row r="69" spans="2:26" ht="15.75" x14ac:dyDescent="0.25">
      <c r="B69" s="18"/>
      <c r="C69" s="19" t="s">
        <v>40</v>
      </c>
      <c r="D69" s="20"/>
      <c r="E69" s="21"/>
      <c r="F69" s="20"/>
      <c r="G69" s="21"/>
      <c r="H69" s="22"/>
      <c r="I69" s="23">
        <f>SUMIF(R70:R74,0,I70:I74)</f>
        <v>104455</v>
      </c>
      <c r="J69" s="18"/>
      <c r="K69" s="18"/>
      <c r="L69" s="24"/>
      <c r="M69" s="25"/>
      <c r="N69" s="24"/>
      <c r="O69" s="21"/>
      <c r="P69" s="18"/>
      <c r="Q69" s="23">
        <f>SUM(Q70:Q74)</f>
        <v>28506</v>
      </c>
      <c r="R69" s="21"/>
      <c r="S69" s="11"/>
      <c r="T69" s="11"/>
      <c r="U69" s="11"/>
      <c r="V69" s="11"/>
      <c r="W69" s="11"/>
      <c r="X69" s="12"/>
      <c r="Y69" s="12"/>
      <c r="Z69" s="12"/>
    </row>
    <row r="70" spans="2:26" x14ac:dyDescent="0.25">
      <c r="B70" s="11">
        <v>1</v>
      </c>
      <c r="C70" s="14">
        <v>46077</v>
      </c>
      <c r="D70" s="11">
        <v>201</v>
      </c>
      <c r="E70" s="14">
        <f t="shared" ref="E70" si="1">C70+D70</f>
        <v>46278</v>
      </c>
      <c r="F70" s="10">
        <v>100000</v>
      </c>
      <c r="G70" s="12">
        <v>8</v>
      </c>
      <c r="H70" s="10">
        <f>ROUNDUP(F70*(1+G70/100/4)^(4*(E70-C70)/365),0)-F70-4</f>
        <v>4455</v>
      </c>
      <c r="I70" s="10">
        <f t="shared" ref="I70" si="2">F70+H70</f>
        <v>104455</v>
      </c>
      <c r="J70" s="10"/>
      <c r="K70" s="15" t="s">
        <v>37</v>
      </c>
      <c r="L70" s="16"/>
      <c r="M70" s="13">
        <f>IF(C70&lt;=$Q$66,$Q$66-C70,0)</f>
        <v>36</v>
      </c>
      <c r="N70" s="11">
        <f>IF(E70&gt;=$Q$66,IF(E70&gt;=$Q$67,$Q$67-C70,D70),0)</f>
        <v>201</v>
      </c>
      <c r="O70" s="10"/>
      <c r="P70" s="11">
        <f>INT(IF(M70&lt;=183,F70*G70/100*M70/365,IF(M70&lt;=365,(F70*(1+G70/400)^(4*1))-F70,(F70*(1+G70/400)^(4*(M70/365))-F70))))</f>
        <v>789</v>
      </c>
      <c r="Q70" s="11">
        <f>IF($E70&lt;=Q$23,$H70-P70,INT(IF(N70&lt;=365,(F70*(1+G70/400)^(4*N70/365))-F70,(F70*(1+G70/400)^(4*(N70/365))-F70)))-P70)</f>
        <v>3669</v>
      </c>
      <c r="R70" s="11">
        <f>IF($E70&gt;=$R$66,IF($E70&lt;=$R$67,$H70,0)-Q70-P70,0)</f>
        <v>0</v>
      </c>
      <c r="S70" s="11"/>
      <c r="T70" s="11"/>
      <c r="U70" s="11">
        <f>INT((E70-C70)/30.433/3)</f>
        <v>2</v>
      </c>
      <c r="V70" s="11">
        <f>E70-DATE(YEAR(C70),MONTH(C70)+3*U70,DAY(C70))</f>
        <v>20</v>
      </c>
      <c r="W70" s="12">
        <f>(1+G70/400)^(INT((E70-C70)/30.433/3))*F70-F70</f>
        <v>4040</v>
      </c>
      <c r="X70" s="12">
        <f>((1+G70/400)^(INT((E70-C70)/30.433/3))*F70)*((E70-DATE(YEAR(C70),MONTH(C70)+3*(INT((E70-C70)/30.433/3)),DAY(C70)))/365*G70/100)</f>
        <v>456.06575342465749</v>
      </c>
      <c r="Y70" s="12">
        <f t="shared" ref="Y70" si="3">W70+X70</f>
        <v>4496.0657534246575</v>
      </c>
      <c r="Z70" s="10">
        <f t="shared" ref="Z70" si="4">ROUND(Y70,0)</f>
        <v>4496</v>
      </c>
    </row>
    <row r="71" spans="2:26" x14ac:dyDescent="0.25">
      <c r="B71" s="3">
        <f>B70+1</f>
        <v>2</v>
      </c>
      <c r="C71" s="14">
        <v>46077</v>
      </c>
      <c r="D71" s="11">
        <v>501</v>
      </c>
      <c r="E71" s="14">
        <f t="shared" ref="E71" si="5">C71+D71</f>
        <v>46578</v>
      </c>
      <c r="F71" s="10">
        <v>100000</v>
      </c>
      <c r="G71" s="12">
        <v>8</v>
      </c>
      <c r="H71" s="10">
        <f>ROUNDUP(F71*(1+G71/100/4)^(4*(E71-C71)/365),0)-F71-4</f>
        <v>11482</v>
      </c>
      <c r="I71" s="10">
        <f t="shared" ref="I71" si="6">F71+H71</f>
        <v>111482</v>
      </c>
      <c r="J71" s="10"/>
      <c r="K71" s="15" t="s">
        <v>37</v>
      </c>
      <c r="L71" s="16"/>
      <c r="M71" s="13">
        <f>IF(C71&lt;=$Q$66,$Q$66-C71,0)</f>
        <v>36</v>
      </c>
      <c r="N71" s="11">
        <f>IF(E71&gt;=$Q$66,IF(E71&gt;=$Q$67,$Q$67-C71,D71),0)</f>
        <v>400</v>
      </c>
      <c r="O71" s="10"/>
      <c r="P71" s="11">
        <f>INT(IF(M71&lt;=183,F71*G71/100*M71/365,IF(M71&lt;=365,(F71*(1+G71/400)^(4*1))-F71,(F71*(1+G71/400)^(4*(M71/365))-F71))))</f>
        <v>789</v>
      </c>
      <c r="Q71" s="11">
        <f>IF($E71&lt;=Q$23,$H71-P71,INT(IF(N71&lt;=365,(F71*(1+G71/400)^(4*N71/365))-F71,(F71*(1+G71/400)^(4*(N71/365))-F71)))-P71)</f>
        <v>8279</v>
      </c>
      <c r="R71" s="11">
        <f>IF($E71&gt;=$R$66,IF($E71&lt;=$R$67,$H71,0)-Q71-P71,0)</f>
        <v>2414</v>
      </c>
      <c r="S71" s="11"/>
      <c r="T71" s="11"/>
      <c r="U71" s="11">
        <f>INT((E71-C71)/30.433/3)</f>
        <v>5</v>
      </c>
      <c r="V71" s="11">
        <f>E71-DATE(YEAR(C71),MONTH(C71)+3*U71,DAY(C71))</f>
        <v>47</v>
      </c>
      <c r="W71" s="12">
        <f>(1+G71/400)^(INT((E71-C71)/30.433/3))*F71-F71</f>
        <v>10408.080320000008</v>
      </c>
      <c r="X71" s="12">
        <f>((1+G71/400)^(INT((E71-C71)/30.433/3))*F71)*((E71-DATE(YEAR(C71),MONTH(C71)+3*(INT((E71-C71)/30.433/3)),DAY(C71)))/365*G71/100)</f>
        <v>1137.354471241644</v>
      </c>
      <c r="Y71" s="12">
        <f t="shared" ref="Y71" si="7">W71+X71</f>
        <v>11545.434791241652</v>
      </c>
      <c r="Z71" s="10">
        <f t="shared" ref="Z71" si="8">ROUND(Y71,0)</f>
        <v>11545</v>
      </c>
    </row>
    <row r="72" spans="2:26" x14ac:dyDescent="0.25">
      <c r="B72" s="3">
        <f>B71+1</f>
        <v>3</v>
      </c>
      <c r="C72" s="14">
        <v>46077</v>
      </c>
      <c r="D72" s="11">
        <v>501</v>
      </c>
      <c r="E72" s="14">
        <f t="shared" ref="E72:E73" si="9">C72+D72</f>
        <v>46578</v>
      </c>
      <c r="F72" s="10">
        <v>100000</v>
      </c>
      <c r="G72" s="12">
        <v>8</v>
      </c>
      <c r="H72" s="10">
        <f>ROUNDUP(F72*(1+G72/100/4)^(4*(E72-C72)/365),0)-F72-4</f>
        <v>11482</v>
      </c>
      <c r="I72" s="10">
        <f t="shared" ref="I72:I73" si="10">F72+H72</f>
        <v>111482</v>
      </c>
      <c r="J72" s="10"/>
      <c r="K72" s="15" t="s">
        <v>37</v>
      </c>
      <c r="L72" s="16"/>
      <c r="M72" s="13">
        <f>IF(C72&lt;=$Q$66,$Q$66-C72,0)</f>
        <v>36</v>
      </c>
      <c r="N72" s="11">
        <f>IF(E72&gt;=$Q$66,IF(E72&gt;=$Q$67,$Q$67-C72,D72),0)</f>
        <v>400</v>
      </c>
      <c r="O72" s="10"/>
      <c r="P72" s="11">
        <f>INT(IF(M72&lt;=183,F72*G72/100*M72/365,IF(M72&lt;=365,(F72*(1+G72/400)^(4*1))-F72,(F72*(1+G72/400)^(4*(M72/365))-F72))))</f>
        <v>789</v>
      </c>
      <c r="Q72" s="11">
        <f>IF($E72&lt;=Q$23,$H72-P72,INT(IF(N72&lt;=365,(F72*(1+G72/400)^(4*N72/365))-F72,(F72*(1+G72/400)^(4*(N72/365))-F72)))-P72)</f>
        <v>8279</v>
      </c>
      <c r="R72" s="11">
        <f>IF($E72&gt;=$R$66,IF($E72&lt;=$R$67,$H72,0)-Q72-P72,0)</f>
        <v>2414</v>
      </c>
      <c r="S72" s="11"/>
      <c r="T72" s="11"/>
      <c r="U72" s="11">
        <f>INT((E72-C72)/30.433/3)</f>
        <v>5</v>
      </c>
      <c r="V72" s="11">
        <f>E72-DATE(YEAR(C72),MONTH(C72)+3*U72,DAY(C72))</f>
        <v>47</v>
      </c>
      <c r="W72" s="12">
        <f>(1+G72/400)^(INT((E72-C72)/30.433/3))*F72-F72</f>
        <v>10408.080320000008</v>
      </c>
      <c r="X72" s="12">
        <f>((1+G72/400)^(INT((E72-C72)/30.433/3))*F72)*((E72-DATE(YEAR(C72),MONTH(C72)+3*(INT((E72-C72)/30.433/3)),DAY(C72)))/365*G72/100)</f>
        <v>1137.354471241644</v>
      </c>
      <c r="Y72" s="12">
        <f t="shared" ref="Y72:Y73" si="11">W72+X72</f>
        <v>11545.434791241652</v>
      </c>
      <c r="Z72" s="10">
        <f t="shared" ref="Z72:Z73" si="12">ROUND(Y72,0)</f>
        <v>11545</v>
      </c>
    </row>
    <row r="73" spans="2:26" x14ac:dyDescent="0.25">
      <c r="B73" s="3">
        <f>B72+1</f>
        <v>4</v>
      </c>
      <c r="C73" s="14">
        <v>46077</v>
      </c>
      <c r="D73" s="11">
        <v>501</v>
      </c>
      <c r="E73" s="14">
        <f t="shared" si="9"/>
        <v>46578</v>
      </c>
      <c r="F73" s="10">
        <v>100000</v>
      </c>
      <c r="G73" s="12">
        <v>8</v>
      </c>
      <c r="H73" s="10">
        <f>ROUNDUP(F73*(1+G73/100/4)^(4*(E73-C73)/365),0)-F73-4</f>
        <v>11482</v>
      </c>
      <c r="I73" s="10">
        <f t="shared" si="10"/>
        <v>111482</v>
      </c>
      <c r="J73" s="10"/>
      <c r="K73" s="15" t="s">
        <v>37</v>
      </c>
      <c r="L73" s="16"/>
      <c r="M73" s="13">
        <f>IF(C73&lt;=$Q$66,$Q$66-C73,0)</f>
        <v>36</v>
      </c>
      <c r="N73" s="11">
        <f>IF(E73&gt;=$Q$66,IF(E73&gt;=$Q$67,$Q$67-C73,D73),0)</f>
        <v>400</v>
      </c>
      <c r="O73" s="10"/>
      <c r="P73" s="11">
        <f>INT(IF(M73&lt;=183,F73*G73/100*M73/365,IF(M73&lt;=365,(F73*(1+G73/400)^(4*1))-F73,(F73*(1+G73/400)^(4*(M73/365))-F73))))</f>
        <v>789</v>
      </c>
      <c r="Q73" s="11">
        <f>IF($E73&lt;=Q$23,$H73-P73,INT(IF(N73&lt;=365,(F73*(1+G73/400)^(4*N73/365))-F73,(F73*(1+G73/400)^(4*(N73/365))-F73)))-P73)</f>
        <v>8279</v>
      </c>
      <c r="R73" s="11">
        <f>IF($E73&gt;=$R$66,IF($E73&lt;=$R$67,$H73,0)-Q73-P73,0)</f>
        <v>2414</v>
      </c>
      <c r="S73" s="11"/>
      <c r="T73" s="11"/>
      <c r="U73" s="11">
        <f>INT((E73-C73)/30.433/3)</f>
        <v>5</v>
      </c>
      <c r="V73" s="11">
        <f>E73-DATE(YEAR(C73),MONTH(C73)+3*U73,DAY(C73))</f>
        <v>47</v>
      </c>
      <c r="W73" s="12">
        <f>(1+G73/400)^(INT((E73-C73)/30.433/3))*F73-F73</f>
        <v>10408.080320000008</v>
      </c>
      <c r="X73" s="12">
        <f>((1+G73/400)^(INT((E73-C73)/30.433/3))*F73)*((E73-DATE(YEAR(C73),MONTH(C73)+3*(INT((E73-C73)/30.433/3)),DAY(C73)))/365*G73/100)</f>
        <v>1137.354471241644</v>
      </c>
      <c r="Y73" s="12">
        <f t="shared" si="11"/>
        <v>11545.434791241652</v>
      </c>
      <c r="Z73" s="10">
        <f t="shared" si="12"/>
        <v>11545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614E5-DAC7-459F-85F2-9200D4B91C0D}">
  <dimension ref="C5:G60"/>
  <sheetViews>
    <sheetView zoomScale="110" zoomScaleNormal="110" workbookViewId="0">
      <selection activeCell="G18" sqref="G18"/>
    </sheetView>
  </sheetViews>
  <sheetFormatPr defaultRowHeight="15" x14ac:dyDescent="0.25"/>
  <cols>
    <col min="4" max="4" width="10.7109375" customWidth="1"/>
  </cols>
  <sheetData>
    <row r="5" spans="3:5" x14ac:dyDescent="0.25">
      <c r="D5" t="s">
        <v>34</v>
      </c>
      <c r="E5" t="s">
        <v>33</v>
      </c>
    </row>
    <row r="6" spans="3:5" x14ac:dyDescent="0.25">
      <c r="C6" t="s">
        <v>3</v>
      </c>
      <c r="D6">
        <f>F18</f>
        <v>499200</v>
      </c>
      <c r="E6">
        <f>G18</f>
        <v>0</v>
      </c>
    </row>
    <row r="8" spans="3:5" x14ac:dyDescent="0.25">
      <c r="C8" t="s">
        <v>4</v>
      </c>
      <c r="D8">
        <f>F33</f>
        <v>379200</v>
      </c>
      <c r="E8">
        <f>G33</f>
        <v>0</v>
      </c>
    </row>
    <row r="10" spans="3:5" x14ac:dyDescent="0.25">
      <c r="C10" t="s">
        <v>5</v>
      </c>
      <c r="D10">
        <f>F48</f>
        <v>286000</v>
      </c>
      <c r="E10">
        <f>G48</f>
        <v>0</v>
      </c>
    </row>
    <row r="12" spans="3:5" x14ac:dyDescent="0.25">
      <c r="C12" t="s">
        <v>7</v>
      </c>
    </row>
    <row r="17" spans="3:7" x14ac:dyDescent="0.25">
      <c r="F17" t="s">
        <v>51</v>
      </c>
      <c r="G17" t="s">
        <v>52</v>
      </c>
    </row>
    <row r="18" spans="3:7" ht="15.75" x14ac:dyDescent="0.25">
      <c r="C18" s="4" t="s">
        <v>3</v>
      </c>
      <c r="F18">
        <f>SUM(F19:F30)</f>
        <v>499200</v>
      </c>
      <c r="G18">
        <f>SUM(G19:G30)</f>
        <v>0</v>
      </c>
    </row>
    <row r="19" spans="3:7" x14ac:dyDescent="0.25">
      <c r="C19" s="3">
        <v>1</v>
      </c>
      <c r="D19" t="s">
        <v>21</v>
      </c>
      <c r="E19" s="5">
        <v>46113</v>
      </c>
      <c r="F19">
        <v>41600</v>
      </c>
    </row>
    <row r="20" spans="3:7" x14ac:dyDescent="0.25">
      <c r="C20" s="3">
        <v>2</v>
      </c>
      <c r="D20" t="s">
        <v>22</v>
      </c>
      <c r="E20" s="5">
        <v>46143</v>
      </c>
      <c r="F20">
        <v>41600</v>
      </c>
    </row>
    <row r="21" spans="3:7" x14ac:dyDescent="0.25">
      <c r="C21" s="3">
        <v>3</v>
      </c>
      <c r="D21" t="s">
        <v>23</v>
      </c>
      <c r="E21" s="5">
        <v>46174</v>
      </c>
      <c r="F21">
        <v>41600</v>
      </c>
    </row>
    <row r="22" spans="3:7" x14ac:dyDescent="0.25">
      <c r="C22" s="3">
        <v>4</v>
      </c>
      <c r="D22" t="s">
        <v>24</v>
      </c>
      <c r="E22" s="5">
        <v>46204</v>
      </c>
      <c r="F22">
        <v>41600</v>
      </c>
    </row>
    <row r="23" spans="3:7" x14ac:dyDescent="0.25">
      <c r="C23" s="3">
        <v>5</v>
      </c>
      <c r="D23" t="s">
        <v>25</v>
      </c>
      <c r="E23" s="5">
        <v>46235</v>
      </c>
      <c r="F23">
        <v>41600</v>
      </c>
    </row>
    <row r="24" spans="3:7" x14ac:dyDescent="0.25">
      <c r="C24" s="3">
        <v>6</v>
      </c>
      <c r="D24" t="s">
        <v>26</v>
      </c>
      <c r="E24" s="5">
        <v>46266</v>
      </c>
      <c r="F24">
        <v>41600</v>
      </c>
    </row>
    <row r="25" spans="3:7" x14ac:dyDescent="0.25">
      <c r="C25" s="3">
        <v>7</v>
      </c>
      <c r="D25" t="s">
        <v>27</v>
      </c>
      <c r="E25" s="5">
        <v>46296</v>
      </c>
      <c r="F25">
        <v>41600</v>
      </c>
    </row>
    <row r="26" spans="3:7" x14ac:dyDescent="0.25">
      <c r="C26" s="3">
        <v>8</v>
      </c>
      <c r="D26" t="s">
        <v>28</v>
      </c>
      <c r="E26" s="5">
        <v>46327</v>
      </c>
      <c r="F26">
        <v>41600</v>
      </c>
    </row>
    <row r="27" spans="3:7" x14ac:dyDescent="0.25">
      <c r="C27" s="3">
        <v>9</v>
      </c>
      <c r="D27" t="s">
        <v>29</v>
      </c>
      <c r="E27" s="5">
        <v>46357</v>
      </c>
      <c r="F27">
        <v>41600</v>
      </c>
    </row>
    <row r="28" spans="3:7" x14ac:dyDescent="0.25">
      <c r="C28" s="3">
        <v>10</v>
      </c>
      <c r="D28" t="s">
        <v>30</v>
      </c>
      <c r="E28" s="5">
        <v>46388</v>
      </c>
      <c r="F28">
        <v>41600</v>
      </c>
    </row>
    <row r="29" spans="3:7" x14ac:dyDescent="0.25">
      <c r="C29" s="3">
        <v>11</v>
      </c>
      <c r="D29" t="s">
        <v>31</v>
      </c>
      <c r="E29" s="5">
        <v>46419</v>
      </c>
      <c r="F29">
        <v>41600</v>
      </c>
    </row>
    <row r="30" spans="3:7" x14ac:dyDescent="0.25">
      <c r="C30" s="3">
        <v>12</v>
      </c>
      <c r="D30" t="s">
        <v>32</v>
      </c>
      <c r="E30" s="5">
        <v>46447</v>
      </c>
      <c r="F30">
        <v>41600</v>
      </c>
    </row>
    <row r="33" spans="3:7" ht="15.75" x14ac:dyDescent="0.25">
      <c r="C33" s="4" t="s">
        <v>4</v>
      </c>
      <c r="F33">
        <f>SUM(F34:F45)</f>
        <v>379200</v>
      </c>
      <c r="G33">
        <f>SUM(G34:G45)</f>
        <v>0</v>
      </c>
    </row>
    <row r="34" spans="3:7" x14ac:dyDescent="0.25">
      <c r="C34" s="3">
        <v>1</v>
      </c>
      <c r="D34" t="s">
        <v>21</v>
      </c>
      <c r="E34" s="5">
        <v>46113</v>
      </c>
      <c r="F34">
        <v>31600</v>
      </c>
    </row>
    <row r="35" spans="3:7" x14ac:dyDescent="0.25">
      <c r="C35" s="3">
        <v>2</v>
      </c>
      <c r="D35" t="s">
        <v>22</v>
      </c>
      <c r="E35" s="5">
        <v>46143</v>
      </c>
      <c r="F35">
        <v>31600</v>
      </c>
    </row>
    <row r="36" spans="3:7" x14ac:dyDescent="0.25">
      <c r="C36" s="3">
        <v>3</v>
      </c>
      <c r="D36" t="s">
        <v>23</v>
      </c>
      <c r="E36" s="5">
        <v>46174</v>
      </c>
      <c r="F36">
        <v>31600</v>
      </c>
    </row>
    <row r="37" spans="3:7" x14ac:dyDescent="0.25">
      <c r="C37" s="3">
        <v>4</v>
      </c>
      <c r="D37" t="s">
        <v>24</v>
      </c>
      <c r="E37" s="5">
        <v>46204</v>
      </c>
      <c r="F37">
        <v>31600</v>
      </c>
    </row>
    <row r="38" spans="3:7" x14ac:dyDescent="0.25">
      <c r="C38" s="3">
        <v>5</v>
      </c>
      <c r="D38" t="s">
        <v>25</v>
      </c>
      <c r="E38" s="5">
        <v>46235</v>
      </c>
      <c r="F38">
        <v>31600</v>
      </c>
    </row>
    <row r="39" spans="3:7" x14ac:dyDescent="0.25">
      <c r="C39" s="3">
        <v>6</v>
      </c>
      <c r="D39" t="s">
        <v>26</v>
      </c>
      <c r="E39" s="5">
        <v>46266</v>
      </c>
      <c r="F39">
        <v>31600</v>
      </c>
    </row>
    <row r="40" spans="3:7" x14ac:dyDescent="0.25">
      <c r="C40" s="3">
        <v>7</v>
      </c>
      <c r="D40" t="s">
        <v>27</v>
      </c>
      <c r="E40" s="5">
        <v>46296</v>
      </c>
      <c r="F40">
        <v>31600</v>
      </c>
    </row>
    <row r="41" spans="3:7" x14ac:dyDescent="0.25">
      <c r="C41" s="3">
        <v>8</v>
      </c>
      <c r="D41" t="s">
        <v>28</v>
      </c>
      <c r="E41" s="5">
        <v>46327</v>
      </c>
      <c r="F41">
        <v>31600</v>
      </c>
    </row>
    <row r="42" spans="3:7" x14ac:dyDescent="0.25">
      <c r="C42" s="3">
        <v>9</v>
      </c>
      <c r="D42" t="s">
        <v>29</v>
      </c>
      <c r="E42" s="5">
        <v>46357</v>
      </c>
      <c r="F42">
        <v>31600</v>
      </c>
    </row>
    <row r="43" spans="3:7" x14ac:dyDescent="0.25">
      <c r="C43" s="3">
        <v>10</v>
      </c>
      <c r="D43" t="s">
        <v>30</v>
      </c>
      <c r="E43" s="5">
        <v>46388</v>
      </c>
      <c r="F43">
        <v>31600</v>
      </c>
    </row>
    <row r="44" spans="3:7" x14ac:dyDescent="0.25">
      <c r="C44" s="3">
        <v>11</v>
      </c>
      <c r="D44" t="s">
        <v>31</v>
      </c>
      <c r="E44" s="5">
        <v>46419</v>
      </c>
      <c r="F44">
        <v>31600</v>
      </c>
    </row>
    <row r="45" spans="3:7" x14ac:dyDescent="0.25">
      <c r="C45" s="3">
        <v>12</v>
      </c>
      <c r="D45" t="s">
        <v>32</v>
      </c>
      <c r="E45" s="5">
        <v>46447</v>
      </c>
      <c r="F45">
        <v>31600</v>
      </c>
    </row>
    <row r="48" spans="3:7" ht="15.75" x14ac:dyDescent="0.25">
      <c r="C48" s="4" t="s">
        <v>5</v>
      </c>
      <c r="F48">
        <f>SUM(F49:F60)</f>
        <v>286000</v>
      </c>
      <c r="G48">
        <f>SUM(G49:G60)</f>
        <v>0</v>
      </c>
    </row>
    <row r="49" spans="3:6" x14ac:dyDescent="0.25">
      <c r="C49" s="3">
        <v>1</v>
      </c>
      <c r="D49" t="s">
        <v>21</v>
      </c>
      <c r="E49" s="5">
        <v>46113</v>
      </c>
      <c r="F49">
        <v>21500</v>
      </c>
    </row>
    <row r="50" spans="3:6" x14ac:dyDescent="0.25">
      <c r="C50" s="3">
        <v>2</v>
      </c>
      <c r="D50" t="s">
        <v>22</v>
      </c>
      <c r="E50" s="5">
        <v>46143</v>
      </c>
      <c r="F50">
        <v>21500</v>
      </c>
    </row>
    <row r="51" spans="3:6" x14ac:dyDescent="0.25">
      <c r="C51" s="3">
        <v>3</v>
      </c>
      <c r="D51" t="s">
        <v>23</v>
      </c>
      <c r="E51" s="5">
        <v>46174</v>
      </c>
      <c r="F51">
        <v>21500</v>
      </c>
    </row>
    <row r="52" spans="3:6" x14ac:dyDescent="0.25">
      <c r="C52" s="3">
        <v>4</v>
      </c>
      <c r="D52" t="s">
        <v>24</v>
      </c>
      <c r="E52" s="5">
        <v>46204</v>
      </c>
      <c r="F52">
        <v>21500</v>
      </c>
    </row>
    <row r="53" spans="3:6" x14ac:dyDescent="0.25">
      <c r="C53" s="3">
        <v>5</v>
      </c>
      <c r="D53" t="s">
        <v>25</v>
      </c>
      <c r="E53" s="5">
        <v>46235</v>
      </c>
      <c r="F53">
        <v>25000</v>
      </c>
    </row>
    <row r="54" spans="3:6" x14ac:dyDescent="0.25">
      <c r="C54" s="3">
        <v>6</v>
      </c>
      <c r="D54" t="s">
        <v>26</v>
      </c>
      <c r="E54" s="5">
        <v>46266</v>
      </c>
      <c r="F54">
        <v>25000</v>
      </c>
    </row>
    <row r="55" spans="3:6" x14ac:dyDescent="0.25">
      <c r="C55" s="3">
        <v>7</v>
      </c>
      <c r="D55" t="s">
        <v>27</v>
      </c>
      <c r="E55" s="5">
        <v>46296</v>
      </c>
      <c r="F55">
        <v>25000</v>
      </c>
    </row>
    <row r="56" spans="3:6" x14ac:dyDescent="0.25">
      <c r="C56" s="3">
        <v>8</v>
      </c>
      <c r="D56" t="s">
        <v>28</v>
      </c>
      <c r="E56" s="5">
        <v>46327</v>
      </c>
      <c r="F56">
        <v>25000</v>
      </c>
    </row>
    <row r="57" spans="3:6" x14ac:dyDescent="0.25">
      <c r="C57" s="3">
        <v>9</v>
      </c>
      <c r="D57" t="s">
        <v>29</v>
      </c>
      <c r="E57" s="5">
        <v>46357</v>
      </c>
      <c r="F57">
        <v>25000</v>
      </c>
    </row>
    <row r="58" spans="3:6" x14ac:dyDescent="0.25">
      <c r="C58" s="3">
        <v>10</v>
      </c>
      <c r="D58" t="s">
        <v>30</v>
      </c>
      <c r="E58" s="5">
        <v>46388</v>
      </c>
      <c r="F58">
        <v>25000</v>
      </c>
    </row>
    <row r="59" spans="3:6" x14ac:dyDescent="0.25">
      <c r="C59" s="3">
        <v>11</v>
      </c>
      <c r="D59" t="s">
        <v>31</v>
      </c>
      <c r="E59" s="5">
        <v>46419</v>
      </c>
      <c r="F59">
        <v>25000</v>
      </c>
    </row>
    <row r="60" spans="3:6" x14ac:dyDescent="0.25">
      <c r="C60" s="3">
        <v>12</v>
      </c>
      <c r="D60" t="s">
        <v>32</v>
      </c>
      <c r="E60" s="5">
        <v>46447</v>
      </c>
      <c r="F60">
        <v>25000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Tank</dc:creator>
  <cp:lastModifiedBy>Pranav Tank</cp:lastModifiedBy>
  <dcterms:created xsi:type="dcterms:W3CDTF">2026-08-23T17:30:32Z</dcterms:created>
  <dcterms:modified xsi:type="dcterms:W3CDTF">2026-09-03T17:34:48Z</dcterms:modified>
</cp:coreProperties>
</file>